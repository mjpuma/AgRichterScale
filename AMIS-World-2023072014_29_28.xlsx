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filterPrivacy="1"/>
  <xr:revisionPtr revIDLastSave="0" documentId="13_ncr:20001_{3096F055-F355-E242-B605-771FB222E367}" xr6:coauthVersionLast="47" xr6:coauthVersionMax="47" xr10:uidLastSave="{00000000-0000-0000-0000-000000000000}"/>
  <bookViews>
    <workbookView xWindow="1480" yWindow="600" windowWidth="22940" windowHeight="13160" activeTab="2" xr2:uid="{00000000-000D-0000-FFFF-FFFF00000000}"/>
  </bookViews>
  <sheets>
    <sheet name="Rice" sheetId="1" r:id="rId1"/>
    <sheet name="Wheat" sheetId="2" r:id="rId2"/>
    <sheet name="Prod_kcal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D7" i="3"/>
  <c r="E7" i="3"/>
  <c r="F7" i="3"/>
  <c r="G7" i="3"/>
  <c r="H7" i="3"/>
  <c r="I7" i="3"/>
  <c r="J7" i="3"/>
  <c r="K7" i="3"/>
  <c r="L7" i="3"/>
  <c r="B7" i="3"/>
  <c r="C6" i="3"/>
  <c r="D6" i="3"/>
  <c r="E6" i="3"/>
  <c r="F6" i="3"/>
  <c r="G6" i="3"/>
  <c r="H6" i="3"/>
  <c r="I6" i="3"/>
  <c r="J6" i="3"/>
  <c r="K6" i="3"/>
  <c r="L6" i="3"/>
  <c r="B6" i="3"/>
  <c r="B5" i="3"/>
  <c r="C5" i="3"/>
  <c r="D5" i="3"/>
  <c r="E5" i="3"/>
  <c r="F5" i="3"/>
  <c r="G5" i="3"/>
  <c r="H5" i="3"/>
  <c r="I5" i="3"/>
  <c r="J5" i="3"/>
  <c r="K5" i="3"/>
  <c r="L5" i="3"/>
</calcChain>
</file>

<file path=xl/sharedStrings.xml><?xml version="1.0" encoding="utf-8"?>
<sst xmlns="http://schemas.openxmlformats.org/spreadsheetml/2006/main" count="166" uniqueCount="57">
  <si>
    <t>Data Last Updated on:</t>
  </si>
  <si>
    <t>22 Jun 2023 (This data may be subject to revisions)</t>
  </si>
  <si>
    <t>COUNTRY:</t>
  </si>
  <si>
    <t>World</t>
  </si>
  <si>
    <t>COMMODITY:</t>
  </si>
  <si>
    <t>Rice</t>
  </si>
  <si>
    <t>SOURCE:</t>
  </si>
  <si>
    <t>USDA-PSD (Distributed by AMIS Statistics)</t>
  </si>
  <si>
    <t>Supply and Demand Balance</t>
  </si>
  <si>
    <t>National Marketing Year (NMY):</t>
  </si>
  <si>
    <t/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</si>
  <si>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</si>
  <si>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</si>
  <si>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</si>
  <si>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</si>
  <si>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</si>
  <si>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</si>
  <si>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</si>
  <si>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</si>
  <si>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</si>
  <si>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</si>
  <si>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</si>
  <si>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Total Supply</t>
  </si>
  <si>
    <t>Million tonnes</t>
  </si>
  <si>
    <t>Opening Stocks</t>
  </si>
  <si>
    <t>Production</t>
  </si>
  <si>
    <t>Imports (NMY)</t>
  </si>
  <si>
    <t>Total Utilization</t>
  </si>
  <si>
    <t>Domestic Utilization</t>
  </si>
  <si>
    <t>Exports (NMY)</t>
  </si>
  <si>
    <t>Closing Stocks</t>
  </si>
  <si>
    <t>UNBALANCED</t>
  </si>
  <si>
    <t>International Trade Year (ITY):</t>
  </si>
  <si>
    <t>Imports (ITY)</t>
  </si>
  <si>
    <t>Exports (ITY)</t>
  </si>
  <si>
    <t>Others</t>
  </si>
  <si>
    <t>Area Harvested</t>
  </si>
  <si>
    <t>Million Ha</t>
  </si>
  <si>
    <t>Yield</t>
  </si>
  <si>
    <t>Tonnes/Ha</t>
  </si>
  <si>
    <t>Extraction Rate</t>
  </si>
  <si>
    <t>%</t>
  </si>
  <si>
    <t>Kg/Yr</t>
  </si>
  <si>
    <t>Per Capita Food Use</t>
  </si>
  <si>
    <t>Population</t>
  </si>
  <si>
    <t>Other Uses</t>
  </si>
  <si>
    <t>Feed Use</t>
  </si>
  <si>
    <t>Food Use</t>
  </si>
  <si>
    <t>FAO-AMIS (Distributed by AMIS Statistics)</t>
  </si>
  <si>
    <t>Wheat</t>
  </si>
  <si>
    <t>6 Jul 2023 (This data may be subject to revisions)</t>
  </si>
  <si>
    <t>Year</t>
  </si>
  <si>
    <t>wheat</t>
  </si>
  <si>
    <t>rice</t>
  </si>
  <si>
    <t>kcal/g</t>
  </si>
  <si>
    <t>Wheat Production (kcal)</t>
  </si>
  <si>
    <t>Rice Production (kcal)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</si>
</sst>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4A6BD"/>
        <bgColor rgb="FF74A6BD"/>
      </patternFill>
    </fill>
    <fill>
      <patternFill patternType="solid">
        <fgColor rgb="FFD8D8D8"/>
      </patternFill>
    </fill>
    <fill>
      <patternFill patternType="solid">
        <fgColor rgb="FFEEE8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vertical="center"/>
    </xf>
    <xf numFmtId="2" fontId="2" fillId="0" borderId="0" xfId="0" applyNumberFormat="1" applyFont="1"/>
    <xf numFmtId="2" fontId="2" fillId="3" borderId="1" xfId="0" applyNumberFormat="1" applyFont="1" applyFill="1" applyBorder="1"/>
    <xf numFmtId="2" fontId="1" fillId="0" borderId="0" xfId="0" applyNumberFormat="1" applyFont="1"/>
    <xf numFmtId="2" fontId="1" fillId="4" borderId="1" xfId="0" applyNumberFormat="1" applyFont="1" applyFill="1" applyBorder="1"/>
    <xf numFmtId="2" fontId="1" fillId="0" borderId="1" xfId="0" applyNumberFormat="1" applyFont="1" applyBorder="1"/>
    <xf numFmtId="3" fontId="1" fillId="0" borderId="0" xfId="0" applyNumberFormat="1" applyFont="1"/>
    <xf numFmtId="3" fontId="1" fillId="0" borderId="1" xfId="0" applyNumberFormat="1" applyFont="1" applyBorder="1"/>
    <xf numFmtId="3" fontId="1" fillId="4" borderId="1" xfId="0" applyNumberFormat="1" applyFont="1" applyFill="1" applyBorder="1"/>
    <xf numFmtId="2" fontId="4" fillId="0" borderId="0" xfId="0" applyNumberFormat="1" applyFont="1"/>
    <xf numFmtId="2" fontId="4" fillId="0" borderId="1" xfId="0" applyNumberFormat="1" applyFont="1" applyBorder="1"/>
    <xf numFmtId="2" fontId="4" fillId="4" borderId="1" xfId="0" applyNumberFormat="1" applyFont="1" applyFill="1" applyBorder="1"/>
    <xf numFmtId="2" fontId="1" fillId="3" borderId="1" xfId="0" applyNumberFormat="1" applyFont="1" applyFill="1" applyBorder="1"/>
    <xf numFmtId="2" fontId="0" fillId="0" borderId="0" xfId="0" applyNumberFormat="1"/>
    <xf numFmtId="0" fontId="0" fillId="0" borderId="0" xfId="0" applyAlignme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opLeftCell="A7" workbookViewId="0">
      <selection activeCell="A32" sqref="A32"/>
    </sheetView>
  </sheetViews>
  <sheetFormatPr baseColWidth="10" defaultColWidth="8.83203125" defaultRowHeight="15" x14ac:dyDescent="0.2"/>
  <cols>
    <col min="1" max="1" width="27" customWidth="1"/>
    <col min="2" max="2" width="20" customWidth="1"/>
  </cols>
  <sheetData>
    <row r="1" spans="1:13" x14ac:dyDescent="0.2">
      <c r="A1" s="1" t="s">
        <v>0</v>
      </c>
      <c r="B1" s="2" t="s">
        <v>1</v>
      </c>
    </row>
    <row r="2" spans="1:13" x14ac:dyDescent="0.2">
      <c r="A2" s="1" t="s">
        <v>2</v>
      </c>
      <c r="B2" s="2" t="s">
        <v>3</v>
      </c>
    </row>
    <row r="3" spans="1:13" x14ac:dyDescent="0.2">
      <c r="A3" s="1" t="s">
        <v>4</v>
      </c>
      <c r="B3" s="2" t="s">
        <v>5</v>
      </c>
    </row>
    <row r="4" spans="1:13" x14ac:dyDescent="0.2">
      <c r="A4" s="1" t="s">
        <v>6</v>
      </c>
      <c r="B4" s="2" t="s">
        <v>7</v>
      </c>
    </row>
    <row r="6" spans="1:13" s="2" customFormat="1" ht="13" x14ac:dyDescent="0.15">
      <c r="A6" s="2" t="s">
        <v>8</v>
      </c>
    </row>
    <row r="8" spans="1:13" s="3" customFormat="1" ht="26.75" customHeight="1" x14ac:dyDescent="0.15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  <c r="L8" s="4" t="s">
        <v>20</v>
      </c>
      <c r="M8" s="4" t="s">
        <v>21</v>
      </c>
    </row>
    <row r="9" spans="1:13" s="5" customFormat="1" ht="13" x14ac:dyDescent="0.15">
      <c r="A9" s="6" t="s">
        <v>22</v>
      </c>
      <c r="B9" s="6" t="s">
        <v>23</v>
      </c>
      <c r="C9" s="6">
        <v>644.63</v>
      </c>
      <c r="D9" s="6">
        <v>653.79</v>
      </c>
      <c r="E9" s="6">
        <v>652.01</v>
      </c>
      <c r="F9" s="6">
        <v>677.11</v>
      </c>
      <c r="G9" s="6">
        <v>692.99</v>
      </c>
      <c r="H9" s="6">
        <v>706.17</v>
      </c>
      <c r="I9" s="6">
        <v>717.38</v>
      </c>
      <c r="J9" s="6">
        <v>737.03</v>
      </c>
      <c r="K9" s="6">
        <v>755.63</v>
      </c>
      <c r="L9" s="6">
        <v>749.07</v>
      </c>
      <c r="M9" s="6">
        <v>747.49</v>
      </c>
    </row>
    <row r="10" spans="1:13" s="7" customFormat="1" ht="13" x14ac:dyDescent="0.15">
      <c r="A10" s="8" t="s">
        <v>24</v>
      </c>
      <c r="B10" s="8" t="s">
        <v>23</v>
      </c>
      <c r="C10" s="9">
        <v>124.08</v>
      </c>
      <c r="D10" s="9">
        <v>128.94</v>
      </c>
      <c r="E10" s="9">
        <v>136.47999999999999</v>
      </c>
      <c r="F10" s="9">
        <v>143.47</v>
      </c>
      <c r="G10" s="9">
        <v>150.77000000000001</v>
      </c>
      <c r="H10" s="9">
        <v>163.63999999999999</v>
      </c>
      <c r="I10" s="9">
        <v>176.61</v>
      </c>
      <c r="J10" s="9">
        <v>181.51</v>
      </c>
      <c r="K10" s="9">
        <v>187.19</v>
      </c>
      <c r="L10" s="9">
        <v>182.37</v>
      </c>
      <c r="M10" s="9">
        <v>173.49</v>
      </c>
    </row>
    <row r="11" spans="1:13" s="7" customFormat="1" ht="13" x14ac:dyDescent="0.15">
      <c r="A11" s="8" t="s">
        <v>25</v>
      </c>
      <c r="B11" s="8" t="s">
        <v>23</v>
      </c>
      <c r="C11" s="9">
        <v>481.47</v>
      </c>
      <c r="D11" s="9">
        <v>483.14</v>
      </c>
      <c r="E11" s="9">
        <v>476.84</v>
      </c>
      <c r="F11" s="9">
        <v>491.98</v>
      </c>
      <c r="G11" s="9">
        <v>494.95</v>
      </c>
      <c r="H11" s="9">
        <v>498.25</v>
      </c>
      <c r="I11" s="9">
        <v>498.23</v>
      </c>
      <c r="J11" s="9">
        <v>509.08</v>
      </c>
      <c r="K11" s="9">
        <v>513.95000000000005</v>
      </c>
      <c r="L11" s="9">
        <v>512.53</v>
      </c>
      <c r="M11" s="9">
        <v>520.49</v>
      </c>
    </row>
    <row r="12" spans="1:13" s="7" customFormat="1" ht="13" x14ac:dyDescent="0.15">
      <c r="A12" s="8" t="s">
        <v>26</v>
      </c>
      <c r="B12" s="8" t="s">
        <v>23</v>
      </c>
      <c r="C12" s="9">
        <v>39.090000000000003</v>
      </c>
      <c r="D12" s="9">
        <v>41.71</v>
      </c>
      <c r="E12" s="9">
        <v>38.69</v>
      </c>
      <c r="F12" s="9">
        <v>41.66</v>
      </c>
      <c r="G12" s="9">
        <v>47.26</v>
      </c>
      <c r="H12" s="9">
        <v>44.28</v>
      </c>
      <c r="I12" s="9">
        <v>42.54</v>
      </c>
      <c r="J12" s="9">
        <v>46.45</v>
      </c>
      <c r="K12" s="9">
        <v>54.49</v>
      </c>
      <c r="L12" s="9">
        <v>54.18</v>
      </c>
      <c r="M12" s="9">
        <v>53.5</v>
      </c>
    </row>
    <row r="13" spans="1:13" s="5" customFormat="1" ht="13" x14ac:dyDescent="0.15">
      <c r="A13" s="6" t="s">
        <v>27</v>
      </c>
      <c r="B13" s="6" t="s">
        <v>23</v>
      </c>
      <c r="C13" s="6">
        <v>644.63</v>
      </c>
      <c r="D13" s="6">
        <v>653.79</v>
      </c>
      <c r="E13" s="6">
        <v>652.01</v>
      </c>
      <c r="F13" s="6">
        <v>677.11</v>
      </c>
      <c r="G13" s="6">
        <v>692.99</v>
      </c>
      <c r="H13" s="6">
        <v>706.17</v>
      </c>
      <c r="I13" s="6">
        <v>717.38</v>
      </c>
      <c r="J13" s="6">
        <v>737.03</v>
      </c>
      <c r="K13" s="6">
        <v>755.63</v>
      </c>
      <c r="L13" s="6">
        <v>749.07</v>
      </c>
      <c r="M13" s="6">
        <v>747.49</v>
      </c>
    </row>
    <row r="14" spans="1:13" s="7" customFormat="1" ht="13" x14ac:dyDescent="0.15">
      <c r="A14" s="8" t="s">
        <v>28</v>
      </c>
      <c r="B14" s="8" t="s">
        <v>23</v>
      </c>
      <c r="C14" s="9">
        <v>472.35</v>
      </c>
      <c r="D14" s="9">
        <v>473.44</v>
      </c>
      <c r="E14" s="9">
        <v>467.81</v>
      </c>
      <c r="F14" s="9">
        <v>478.45</v>
      </c>
      <c r="G14" s="9">
        <v>481.47</v>
      </c>
      <c r="H14" s="9">
        <v>485.37</v>
      </c>
      <c r="I14" s="9">
        <v>492.42</v>
      </c>
      <c r="J14" s="9">
        <v>498.61</v>
      </c>
      <c r="K14" s="9">
        <v>516.39</v>
      </c>
      <c r="L14" s="9">
        <v>520.15</v>
      </c>
      <c r="M14" s="9">
        <v>521.46</v>
      </c>
    </row>
    <row r="15" spans="1:13" s="7" customFormat="1" ht="13" x14ac:dyDescent="0.15">
      <c r="A15" s="8" t="s">
        <v>29</v>
      </c>
      <c r="B15" s="8" t="s">
        <v>23</v>
      </c>
      <c r="C15" s="9">
        <v>43.34</v>
      </c>
      <c r="D15" s="9">
        <v>43.87</v>
      </c>
      <c r="E15" s="9">
        <v>40.74</v>
      </c>
      <c r="F15" s="9">
        <v>47.89</v>
      </c>
      <c r="G15" s="9">
        <v>47.89</v>
      </c>
      <c r="H15" s="9">
        <v>44.18</v>
      </c>
      <c r="I15" s="9">
        <v>43.45</v>
      </c>
      <c r="J15" s="9">
        <v>51.24</v>
      </c>
      <c r="K15" s="9">
        <v>56.87</v>
      </c>
      <c r="L15" s="9">
        <v>55.43</v>
      </c>
      <c r="M15" s="9">
        <v>55.81</v>
      </c>
    </row>
    <row r="16" spans="1:13" s="7" customFormat="1" ht="13" x14ac:dyDescent="0.15">
      <c r="A16" s="8" t="s">
        <v>30</v>
      </c>
      <c r="B16" s="8" t="s">
        <v>23</v>
      </c>
      <c r="C16" s="9">
        <v>128.94</v>
      </c>
      <c r="D16" s="9">
        <v>136.47999999999999</v>
      </c>
      <c r="E16" s="9">
        <v>143.47</v>
      </c>
      <c r="F16" s="9">
        <v>150.77000000000001</v>
      </c>
      <c r="G16" s="9">
        <v>163.63999999999999</v>
      </c>
      <c r="H16" s="9">
        <v>176.61</v>
      </c>
      <c r="I16" s="9">
        <v>181.51</v>
      </c>
      <c r="J16" s="9">
        <v>187.19</v>
      </c>
      <c r="K16" s="9">
        <v>182.37</v>
      </c>
      <c r="L16" s="9">
        <v>173.49</v>
      </c>
      <c r="M16" s="9">
        <v>170.21</v>
      </c>
    </row>
    <row r="17" spans="1:13" s="5" customFormat="1" ht="13" x14ac:dyDescent="0.15">
      <c r="A17" s="6" t="s">
        <v>31</v>
      </c>
      <c r="B17" s="6" t="s">
        <v>10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9" spans="1:13" s="3" customFormat="1" ht="26.75" customHeight="1" x14ac:dyDescent="0.15">
      <c r="A19" s="4" t="s">
        <v>32</v>
      </c>
      <c r="B19" s="4" t="s">
        <v>10</v>
      </c>
      <c r="C19" s="4" t="s">
        <v>11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16</v>
      </c>
      <c r="I19" s="4" t="s">
        <v>17</v>
      </c>
      <c r="J19" s="4" t="s">
        <v>18</v>
      </c>
      <c r="K19" s="4" t="s">
        <v>19</v>
      </c>
      <c r="L19" s="4" t="s">
        <v>20</v>
      </c>
      <c r="M19" s="4" t="s">
        <v>21</v>
      </c>
    </row>
    <row r="20" spans="1:13" s="7" customFormat="1" ht="13" x14ac:dyDescent="0.15">
      <c r="A20" s="8" t="s">
        <v>33</v>
      </c>
      <c r="B20" s="8" t="s">
        <v>23</v>
      </c>
      <c r="C20" s="9">
        <v>41.48</v>
      </c>
      <c r="D20" s="9">
        <v>40.32</v>
      </c>
      <c r="E20" s="9">
        <v>38.07</v>
      </c>
      <c r="F20" s="9">
        <v>45.83</v>
      </c>
      <c r="G20" s="9">
        <v>46.29</v>
      </c>
      <c r="H20" s="9">
        <v>42.39</v>
      </c>
      <c r="I20" s="9">
        <v>43.99</v>
      </c>
      <c r="J20" s="9">
        <v>49.89</v>
      </c>
      <c r="K20" s="9">
        <v>54.81</v>
      </c>
      <c r="L20" s="9">
        <v>53.68</v>
      </c>
      <c r="M20" s="9">
        <v>53.57</v>
      </c>
    </row>
    <row r="21" spans="1:13" s="7" customFormat="1" ht="13" x14ac:dyDescent="0.15">
      <c r="A21" s="8" t="s">
        <v>34</v>
      </c>
      <c r="B21" s="8" t="s">
        <v>23</v>
      </c>
      <c r="C21" s="9">
        <v>44.46</v>
      </c>
      <c r="D21" s="9">
        <v>43.01</v>
      </c>
      <c r="E21" s="9">
        <v>40.53</v>
      </c>
      <c r="F21" s="9">
        <v>48.72</v>
      </c>
      <c r="G21" s="9">
        <v>48.29</v>
      </c>
      <c r="H21" s="9">
        <v>43.92</v>
      </c>
      <c r="I21" s="9">
        <v>45.37</v>
      </c>
      <c r="J21" s="9">
        <v>52.14</v>
      </c>
      <c r="K21" s="9">
        <v>56.11</v>
      </c>
      <c r="L21" s="9">
        <v>55.44</v>
      </c>
      <c r="M21" s="9">
        <v>55.81</v>
      </c>
    </row>
    <row r="23" spans="1:13" s="3" customFormat="1" ht="26.75" customHeight="1" x14ac:dyDescent="0.15">
      <c r="A23" s="4" t="s">
        <v>35</v>
      </c>
      <c r="B23" s="4" t="s">
        <v>10</v>
      </c>
      <c r="C23" s="4" t="s">
        <v>11</v>
      </c>
      <c r="D23" s="4" t="s">
        <v>12</v>
      </c>
      <c r="E23" s="4" t="s">
        <v>13</v>
      </c>
      <c r="F23" s="4" t="s">
        <v>14</v>
      </c>
      <c r="G23" s="4" t="s">
        <v>15</v>
      </c>
      <c r="H23" s="4" t="s">
        <v>16</v>
      </c>
      <c r="I23" s="4" t="s">
        <v>17</v>
      </c>
      <c r="J23" s="4" t="s">
        <v>18</v>
      </c>
      <c r="K23" s="4" t="s">
        <v>19</v>
      </c>
      <c r="L23" s="4" t="s">
        <v>20</v>
      </c>
      <c r="M23" s="4" t="s">
        <v>21</v>
      </c>
    </row>
    <row r="24" spans="1:13" s="7" customFormat="1" ht="13" x14ac:dyDescent="0.15">
      <c r="A24" s="8" t="s">
        <v>36</v>
      </c>
      <c r="B24" s="8" t="s">
        <v>37</v>
      </c>
      <c r="C24" s="9">
        <v>163.41999999999999</v>
      </c>
      <c r="D24" s="9">
        <v>163.18</v>
      </c>
      <c r="E24" s="9">
        <v>161.19</v>
      </c>
      <c r="F24" s="9">
        <v>164.08</v>
      </c>
      <c r="G24" s="9">
        <v>163.68</v>
      </c>
      <c r="H24" s="9">
        <v>163.08000000000001</v>
      </c>
      <c r="I24" s="9">
        <v>161.46</v>
      </c>
      <c r="J24" s="9">
        <v>164.89</v>
      </c>
      <c r="K24" s="9">
        <v>165.51</v>
      </c>
      <c r="L24" s="9">
        <v>165.27</v>
      </c>
      <c r="M24" s="9">
        <v>166.08</v>
      </c>
    </row>
    <row r="25" spans="1:13" s="7" customFormat="1" ht="13" x14ac:dyDescent="0.15">
      <c r="A25" s="8" t="s">
        <v>38</v>
      </c>
      <c r="B25" s="8" t="s">
        <v>39</v>
      </c>
      <c r="C25" s="9">
        <v>4.4000000000000004</v>
      </c>
      <c r="D25" s="9">
        <v>4.42</v>
      </c>
      <c r="E25" s="9">
        <v>4.41</v>
      </c>
      <c r="F25" s="9">
        <v>4.4800000000000004</v>
      </c>
      <c r="G25" s="9">
        <v>4.51</v>
      </c>
      <c r="H25" s="9">
        <v>4.5599999999999996</v>
      </c>
      <c r="I25" s="9">
        <v>4.6100000000000003</v>
      </c>
      <c r="J25" s="9">
        <v>4.6100000000000003</v>
      </c>
      <c r="K25" s="9">
        <v>4.6399999999999997</v>
      </c>
      <c r="L25" s="9">
        <v>4.63</v>
      </c>
      <c r="M25" s="9">
        <v>4.68</v>
      </c>
    </row>
    <row r="26" spans="1:13" s="7" customFormat="1" ht="13" x14ac:dyDescent="0.15">
      <c r="A26" s="8" t="s">
        <v>40</v>
      </c>
      <c r="B26" s="8" t="s">
        <v>41</v>
      </c>
      <c r="C26" s="9">
        <v>67.02</v>
      </c>
      <c r="D26" s="9">
        <v>67.03</v>
      </c>
      <c r="E26" s="9">
        <v>67.040000000000006</v>
      </c>
      <c r="F26" s="9">
        <v>66.959999999999994</v>
      </c>
      <c r="G26" s="9">
        <v>66.98</v>
      </c>
      <c r="H26" s="9">
        <v>66.98</v>
      </c>
      <c r="I26" s="9">
        <v>66.97</v>
      </c>
      <c r="J26" s="9">
        <v>66.97</v>
      </c>
      <c r="K26" s="9">
        <v>66.97</v>
      </c>
      <c r="L26" s="9">
        <v>66.95</v>
      </c>
      <c r="M26" s="9">
        <v>66.959999999999994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82DA-581D-3044-8A3C-468C27B37437}">
  <dimension ref="A1:M30"/>
  <sheetViews>
    <sheetView workbookViewId="0">
      <selection activeCell="B35" sqref="B35"/>
    </sheetView>
  </sheetViews>
  <sheetFormatPr baseColWidth="10" defaultColWidth="8.83203125" defaultRowHeight="15" x14ac:dyDescent="0.2"/>
  <cols>
    <col min="1" max="1" width="27" customWidth="1"/>
    <col min="2" max="2" width="20" customWidth="1"/>
  </cols>
  <sheetData>
    <row r="1" spans="1:13" x14ac:dyDescent="0.2">
      <c r="A1" s="1" t="s">
        <v>0</v>
      </c>
      <c r="B1" s="2" t="s">
        <v>50</v>
      </c>
    </row>
    <row r="2" spans="1:13" x14ac:dyDescent="0.2">
      <c r="A2" s="1" t="s">
        <v>2</v>
      </c>
      <c r="B2" s="2" t="s">
        <v>3</v>
      </c>
    </row>
    <row r="3" spans="1:13" x14ac:dyDescent="0.2">
      <c r="A3" s="1" t="s">
        <v>4</v>
      </c>
      <c r="B3" s="2" t="s">
        <v>49</v>
      </c>
    </row>
    <row r="4" spans="1:13" x14ac:dyDescent="0.2">
      <c r="A4" s="1" t="s">
        <v>6</v>
      </c>
      <c r="B4" s="2" t="s">
        <v>48</v>
      </c>
    </row>
    <row r="6" spans="1:13" s="2" customFormat="1" ht="13" x14ac:dyDescent="0.15">
      <c r="A6" s="2" t="s">
        <v>8</v>
      </c>
    </row>
    <row r="8" spans="1:13" s="3" customFormat="1" ht="26.75" customHeight="1" x14ac:dyDescent="0.15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  <c r="L8" s="4" t="s">
        <v>20</v>
      </c>
      <c r="M8" s="4" t="s">
        <v>21</v>
      </c>
    </row>
    <row r="9" spans="1:13" s="5" customFormat="1" ht="13" x14ac:dyDescent="0.15">
      <c r="A9" s="6" t="s">
        <v>22</v>
      </c>
      <c r="B9" s="6" t="s">
        <v>23</v>
      </c>
      <c r="C9" s="6">
        <v>1053.75</v>
      </c>
      <c r="D9" s="6">
        <v>1096.05</v>
      </c>
      <c r="E9" s="6">
        <v>1128.54</v>
      </c>
      <c r="F9" s="6">
        <v>1183.49</v>
      </c>
      <c r="G9" s="6">
        <v>1203.8800000000001</v>
      </c>
      <c r="H9" s="6">
        <v>1191.8599999999999</v>
      </c>
      <c r="I9" s="6">
        <v>1215.68</v>
      </c>
      <c r="J9" s="6">
        <v>1250.55</v>
      </c>
      <c r="K9" s="6">
        <v>1265.52</v>
      </c>
      <c r="L9" s="6">
        <v>1297.3</v>
      </c>
      <c r="M9" s="6">
        <v>1289.19</v>
      </c>
    </row>
    <row r="10" spans="1:13" s="7" customFormat="1" ht="13" x14ac:dyDescent="0.15">
      <c r="A10" s="8" t="s">
        <v>24</v>
      </c>
      <c r="B10" s="8" t="s">
        <v>23</v>
      </c>
      <c r="C10" s="9">
        <v>185.05</v>
      </c>
      <c r="D10" s="9">
        <v>199.44</v>
      </c>
      <c r="E10" s="9">
        <v>228.1</v>
      </c>
      <c r="F10" s="9">
        <v>242.3</v>
      </c>
      <c r="G10" s="9">
        <v>266.57</v>
      </c>
      <c r="H10" s="9">
        <v>289.12</v>
      </c>
      <c r="I10" s="9">
        <v>274.74</v>
      </c>
      <c r="J10" s="9">
        <v>286.08</v>
      </c>
      <c r="K10" s="9">
        <v>294.64999999999998</v>
      </c>
      <c r="L10" s="9">
        <v>294.91000000000003</v>
      </c>
      <c r="M10" s="9">
        <v>311.08</v>
      </c>
    </row>
    <row r="11" spans="1:13" s="7" customFormat="1" ht="13" x14ac:dyDescent="0.15">
      <c r="A11" s="8" t="s">
        <v>25</v>
      </c>
      <c r="B11" s="8" t="s">
        <v>23</v>
      </c>
      <c r="C11" s="9">
        <v>715.33</v>
      </c>
      <c r="D11" s="9">
        <v>735.64</v>
      </c>
      <c r="E11" s="9">
        <v>737.29</v>
      </c>
      <c r="F11" s="9">
        <v>763.45</v>
      </c>
      <c r="G11" s="9">
        <v>761.53</v>
      </c>
      <c r="H11" s="9">
        <v>731.44</v>
      </c>
      <c r="I11" s="9">
        <v>759.29</v>
      </c>
      <c r="J11" s="9">
        <v>775.31</v>
      </c>
      <c r="K11" s="9">
        <v>778.28</v>
      </c>
      <c r="L11" s="9">
        <v>801.76</v>
      </c>
      <c r="M11" s="9">
        <v>783.32</v>
      </c>
    </row>
    <row r="12" spans="1:13" s="7" customFormat="1" ht="13" x14ac:dyDescent="0.15">
      <c r="A12" s="8" t="s">
        <v>26</v>
      </c>
      <c r="B12" s="8" t="s">
        <v>23</v>
      </c>
      <c r="C12" s="9">
        <v>153.37</v>
      </c>
      <c r="D12" s="9">
        <v>160.96</v>
      </c>
      <c r="E12" s="9">
        <v>163.16</v>
      </c>
      <c r="F12" s="9">
        <v>177.74</v>
      </c>
      <c r="G12" s="9">
        <v>175.78</v>
      </c>
      <c r="H12" s="9">
        <v>171.29</v>
      </c>
      <c r="I12" s="9">
        <v>181.65</v>
      </c>
      <c r="J12" s="9">
        <v>189.15</v>
      </c>
      <c r="K12" s="9">
        <v>192.6</v>
      </c>
      <c r="L12" s="9">
        <v>200.63</v>
      </c>
      <c r="M12" s="9">
        <v>195.53</v>
      </c>
    </row>
    <row r="13" spans="1:13" s="5" customFormat="1" ht="13" x14ac:dyDescent="0.15">
      <c r="A13" s="6" t="s">
        <v>27</v>
      </c>
      <c r="B13" s="6" t="s">
        <v>23</v>
      </c>
      <c r="C13" s="6">
        <v>891.9</v>
      </c>
      <c r="D13" s="6">
        <v>936.76</v>
      </c>
      <c r="E13" s="6">
        <v>959.69</v>
      </c>
      <c r="F13" s="6">
        <v>1003.72</v>
      </c>
      <c r="G13" s="6">
        <v>1027.6199999999999</v>
      </c>
      <c r="H13" s="6">
        <v>1023.96</v>
      </c>
      <c r="I13" s="6">
        <v>1032.33</v>
      </c>
      <c r="J13" s="6">
        <v>1056.27</v>
      </c>
      <c r="K13" s="6">
        <v>1070.25</v>
      </c>
      <c r="L13" s="6">
        <v>1091.6099999999999</v>
      </c>
      <c r="M13" s="6">
        <v>1096.6099999999999</v>
      </c>
    </row>
    <row r="14" spans="1:13" s="7" customFormat="1" ht="13" x14ac:dyDescent="0.15">
      <c r="A14" s="16" t="s">
        <v>28</v>
      </c>
      <c r="B14" s="16" t="s">
        <v>23</v>
      </c>
      <c r="C14" s="16">
        <v>692.45</v>
      </c>
      <c r="D14" s="16">
        <v>708.66</v>
      </c>
      <c r="E14" s="16">
        <v>717.38</v>
      </c>
      <c r="F14" s="16">
        <v>737.15</v>
      </c>
      <c r="G14" s="16">
        <v>738.5</v>
      </c>
      <c r="H14" s="16">
        <v>749.23</v>
      </c>
      <c r="I14" s="16">
        <v>746.25</v>
      </c>
      <c r="J14" s="16">
        <v>761.62</v>
      </c>
      <c r="K14" s="16">
        <v>775.35</v>
      </c>
      <c r="L14" s="16">
        <v>780.53</v>
      </c>
      <c r="M14" s="16">
        <v>782.67</v>
      </c>
    </row>
    <row r="15" spans="1:13" s="13" customFormat="1" ht="13" x14ac:dyDescent="0.15">
      <c r="A15" s="15" t="s">
        <v>47</v>
      </c>
      <c r="B15" s="15" t="s">
        <v>23</v>
      </c>
      <c r="C15" s="14">
        <v>482.47</v>
      </c>
      <c r="D15" s="14">
        <v>489.14</v>
      </c>
      <c r="E15" s="14">
        <v>496.45</v>
      </c>
      <c r="F15" s="14">
        <v>502.22</v>
      </c>
      <c r="G15" s="14">
        <v>508.75</v>
      </c>
      <c r="H15" s="14">
        <v>513.67999999999995</v>
      </c>
      <c r="I15" s="14">
        <v>518.99</v>
      </c>
      <c r="J15" s="14">
        <v>524.03</v>
      </c>
      <c r="K15" s="14">
        <v>531.29999999999995</v>
      </c>
      <c r="L15" s="14">
        <v>535.65</v>
      </c>
      <c r="M15" s="14">
        <v>539.75</v>
      </c>
    </row>
    <row r="16" spans="1:13" s="13" customFormat="1" ht="13" x14ac:dyDescent="0.15">
      <c r="A16" s="15" t="s">
        <v>46</v>
      </c>
      <c r="B16" s="15" t="s">
        <v>23</v>
      </c>
      <c r="C16" s="14">
        <v>125.88</v>
      </c>
      <c r="D16" s="14">
        <v>131.76</v>
      </c>
      <c r="E16" s="14">
        <v>137.35</v>
      </c>
      <c r="F16" s="14">
        <v>138.97999999999999</v>
      </c>
      <c r="G16" s="14">
        <v>138.82</v>
      </c>
      <c r="H16" s="14">
        <v>141.62</v>
      </c>
      <c r="I16" s="14">
        <v>137.97</v>
      </c>
      <c r="J16" s="14">
        <v>147.74</v>
      </c>
      <c r="K16" s="14">
        <v>151.19</v>
      </c>
      <c r="L16" s="14">
        <v>153.34</v>
      </c>
      <c r="M16" s="14">
        <v>152.9</v>
      </c>
    </row>
    <row r="17" spans="1:13" s="13" customFormat="1" ht="13" x14ac:dyDescent="0.15">
      <c r="A17" s="15" t="s">
        <v>45</v>
      </c>
      <c r="B17" s="15" t="s">
        <v>23</v>
      </c>
      <c r="C17" s="14">
        <v>84.1</v>
      </c>
      <c r="D17" s="14">
        <v>87.76</v>
      </c>
      <c r="E17" s="14">
        <v>83.57</v>
      </c>
      <c r="F17" s="14">
        <v>95.95</v>
      </c>
      <c r="G17" s="14">
        <v>90.93</v>
      </c>
      <c r="H17" s="14">
        <v>93.92</v>
      </c>
      <c r="I17" s="14">
        <v>89.28</v>
      </c>
      <c r="J17" s="14">
        <v>89.85</v>
      </c>
      <c r="K17" s="14">
        <v>92.86</v>
      </c>
      <c r="L17" s="14">
        <v>91.54</v>
      </c>
      <c r="M17" s="14">
        <v>90.02</v>
      </c>
    </row>
    <row r="18" spans="1:13" s="7" customFormat="1" ht="13" x14ac:dyDescent="0.15">
      <c r="A18" s="8" t="s">
        <v>29</v>
      </c>
      <c r="B18" s="8" t="s">
        <v>23</v>
      </c>
      <c r="C18" s="9">
        <v>161.78</v>
      </c>
      <c r="D18" s="9">
        <v>159.36000000000001</v>
      </c>
      <c r="E18" s="9">
        <v>168.86</v>
      </c>
      <c r="F18" s="9">
        <v>179.78</v>
      </c>
      <c r="G18" s="9">
        <v>176.26</v>
      </c>
      <c r="H18" s="9">
        <v>167.89</v>
      </c>
      <c r="I18" s="9">
        <v>183.36</v>
      </c>
      <c r="J18" s="9">
        <v>194.27</v>
      </c>
      <c r="K18" s="9">
        <v>195.27</v>
      </c>
      <c r="L18" s="9">
        <v>205.67</v>
      </c>
      <c r="M18" s="9">
        <v>193.25</v>
      </c>
    </row>
    <row r="19" spans="1:13" s="7" customFormat="1" ht="13" x14ac:dyDescent="0.15">
      <c r="A19" s="8" t="s">
        <v>30</v>
      </c>
      <c r="B19" s="8" t="s">
        <v>23</v>
      </c>
      <c r="C19" s="9">
        <v>199.44</v>
      </c>
      <c r="D19" s="9">
        <v>228.1</v>
      </c>
      <c r="E19" s="9">
        <v>242.3</v>
      </c>
      <c r="F19" s="9">
        <v>266.57</v>
      </c>
      <c r="G19" s="9">
        <v>289.12</v>
      </c>
      <c r="H19" s="9">
        <v>274.74</v>
      </c>
      <c r="I19" s="9">
        <v>286.08</v>
      </c>
      <c r="J19" s="9">
        <v>294.64999999999998</v>
      </c>
      <c r="K19" s="9">
        <v>294.91000000000003</v>
      </c>
      <c r="L19" s="9">
        <v>311.08</v>
      </c>
      <c r="M19" s="9">
        <v>313.94</v>
      </c>
    </row>
    <row r="20" spans="1:13" s="5" customFormat="1" ht="13" x14ac:dyDescent="0.15">
      <c r="A20" s="6" t="s">
        <v>31</v>
      </c>
      <c r="B20" s="6" t="s">
        <v>10</v>
      </c>
      <c r="C20" s="6">
        <v>-161.86000000000001</v>
      </c>
      <c r="D20" s="6">
        <v>-159.29</v>
      </c>
      <c r="E20" s="6">
        <v>-168.86</v>
      </c>
      <c r="F20" s="6">
        <v>-179.78</v>
      </c>
      <c r="G20" s="6">
        <v>-176.26</v>
      </c>
      <c r="H20" s="6">
        <v>-167.89</v>
      </c>
      <c r="I20" s="6">
        <v>-183.36</v>
      </c>
      <c r="J20" s="6">
        <v>-194.27</v>
      </c>
      <c r="K20" s="6">
        <v>-195.27</v>
      </c>
      <c r="L20" s="6">
        <v>-205.69</v>
      </c>
      <c r="M20" s="6">
        <v>-192.57</v>
      </c>
    </row>
    <row r="22" spans="1:13" s="3" customFormat="1" ht="26.75" customHeight="1" x14ac:dyDescent="0.15">
      <c r="A22" s="4" t="s">
        <v>32</v>
      </c>
      <c r="B22" s="4" t="s">
        <v>10</v>
      </c>
      <c r="C22" s="4" t="s">
        <v>11</v>
      </c>
      <c r="D22" s="4" t="s">
        <v>12</v>
      </c>
      <c r="E22" s="4" t="s">
        <v>13</v>
      </c>
      <c r="F22" s="4" t="s">
        <v>14</v>
      </c>
      <c r="G22" s="4" t="s">
        <v>15</v>
      </c>
      <c r="H22" s="4" t="s">
        <v>16</v>
      </c>
      <c r="I22" s="4" t="s">
        <v>17</v>
      </c>
      <c r="J22" s="4" t="s">
        <v>18</v>
      </c>
      <c r="K22" s="4" t="s">
        <v>19</v>
      </c>
      <c r="L22" s="4" t="s">
        <v>20</v>
      </c>
      <c r="M22" s="4" t="s">
        <v>21</v>
      </c>
    </row>
    <row r="23" spans="1:13" s="7" customFormat="1" ht="13" x14ac:dyDescent="0.15">
      <c r="A23" s="8" t="s">
        <v>33</v>
      </c>
      <c r="B23" s="8" t="s">
        <v>23</v>
      </c>
      <c r="C23" s="9">
        <v>155.28</v>
      </c>
      <c r="D23" s="9">
        <v>157.35</v>
      </c>
      <c r="E23" s="9">
        <v>163.93</v>
      </c>
      <c r="F23" s="9">
        <v>177.49</v>
      </c>
      <c r="G23" s="9">
        <v>174.41</v>
      </c>
      <c r="H23" s="9">
        <v>170.14</v>
      </c>
      <c r="I23" s="9">
        <v>183.77</v>
      </c>
      <c r="J23" s="9">
        <v>187.72</v>
      </c>
      <c r="K23" s="9">
        <v>196.08</v>
      </c>
      <c r="L23" s="9">
        <v>202.14</v>
      </c>
      <c r="M23" s="9">
        <v>195.29</v>
      </c>
    </row>
    <row r="24" spans="1:13" s="7" customFormat="1" ht="13" x14ac:dyDescent="0.15">
      <c r="A24" s="8" t="s">
        <v>34</v>
      </c>
      <c r="B24" s="8" t="s">
        <v>23</v>
      </c>
      <c r="C24" s="9">
        <v>159.30000000000001</v>
      </c>
      <c r="D24" s="9">
        <v>156.41999999999999</v>
      </c>
      <c r="E24" s="9">
        <v>167.5</v>
      </c>
      <c r="F24" s="9">
        <v>177.24</v>
      </c>
      <c r="G24" s="9">
        <v>177.91</v>
      </c>
      <c r="H24" s="9">
        <v>169.1</v>
      </c>
      <c r="I24" s="9">
        <v>183.78</v>
      </c>
      <c r="J24" s="9">
        <v>189.42</v>
      </c>
      <c r="K24" s="9">
        <v>195.92</v>
      </c>
      <c r="L24" s="9">
        <v>202.17</v>
      </c>
      <c r="M24" s="9">
        <v>195.26</v>
      </c>
    </row>
    <row r="26" spans="1:13" s="3" customFormat="1" ht="26.75" customHeight="1" x14ac:dyDescent="0.15">
      <c r="A26" s="4" t="s">
        <v>35</v>
      </c>
      <c r="B26" s="4" t="s">
        <v>10</v>
      </c>
      <c r="C26" s="4" t="s">
        <v>11</v>
      </c>
      <c r="D26" s="4" t="s">
        <v>12</v>
      </c>
      <c r="E26" s="4" t="s">
        <v>13</v>
      </c>
      <c r="F26" s="4" t="s">
        <v>14</v>
      </c>
      <c r="G26" s="4" t="s">
        <v>15</v>
      </c>
      <c r="H26" s="4" t="s">
        <v>16</v>
      </c>
      <c r="I26" s="4" t="s">
        <v>17</v>
      </c>
      <c r="J26" s="4" t="s">
        <v>18</v>
      </c>
      <c r="K26" s="4" t="s">
        <v>19</v>
      </c>
      <c r="L26" s="4" t="s">
        <v>20</v>
      </c>
      <c r="M26" s="4" t="s">
        <v>21</v>
      </c>
    </row>
    <row r="27" spans="1:13" s="10" customFormat="1" ht="13" x14ac:dyDescent="0.15">
      <c r="A27" s="12" t="s">
        <v>44</v>
      </c>
      <c r="B27" s="12" t="s">
        <v>10</v>
      </c>
      <c r="C27" s="11">
        <v>6148898.9699999997</v>
      </c>
      <c r="D27" s="11">
        <v>6230746.9800000004</v>
      </c>
      <c r="E27" s="11">
        <v>6312407.3700000001</v>
      </c>
      <c r="F27" s="11">
        <v>6393898.3700000001</v>
      </c>
      <c r="G27" s="11">
        <v>6475751.4800000004</v>
      </c>
      <c r="H27" s="11">
        <v>6558176.1200000001</v>
      </c>
      <c r="I27" s="11">
        <v>6641416.2199999997</v>
      </c>
      <c r="J27" s="11">
        <v>6725948.5499999998</v>
      </c>
      <c r="K27" s="11">
        <v>6811597.2699999996</v>
      </c>
      <c r="L27" s="11">
        <v>6898305.9199999999</v>
      </c>
      <c r="M27" s="11">
        <v>6985603.1100000003</v>
      </c>
    </row>
    <row r="28" spans="1:13" s="7" customFormat="1" ht="13" x14ac:dyDescent="0.15">
      <c r="A28" s="8" t="s">
        <v>43</v>
      </c>
      <c r="B28" s="8" t="s">
        <v>42</v>
      </c>
      <c r="C28" s="9">
        <v>66.540000000000006</v>
      </c>
      <c r="D28" s="9">
        <v>66.650000000000006</v>
      </c>
      <c r="E28" s="9">
        <v>66.849999999999994</v>
      </c>
      <c r="F28" s="9">
        <v>66.84</v>
      </c>
      <c r="G28" s="9">
        <v>66.94</v>
      </c>
      <c r="H28" s="9">
        <v>66.849999999999994</v>
      </c>
      <c r="I28" s="9">
        <v>66.84</v>
      </c>
      <c r="J28" s="9">
        <v>66.83</v>
      </c>
      <c r="K28" s="9">
        <v>67.17</v>
      </c>
      <c r="L28" s="9">
        <v>67.17</v>
      </c>
      <c r="M28" s="9">
        <v>67.09</v>
      </c>
    </row>
    <row r="29" spans="1:13" s="7" customFormat="1" ht="13" x14ac:dyDescent="0.15">
      <c r="A29" s="8" t="s">
        <v>36</v>
      </c>
      <c r="B29" s="8" t="s">
        <v>37</v>
      </c>
      <c r="C29" s="9">
        <v>220.53</v>
      </c>
      <c r="D29" s="9">
        <v>222.98</v>
      </c>
      <c r="E29" s="9">
        <v>221.14</v>
      </c>
      <c r="F29" s="9">
        <v>221.94</v>
      </c>
      <c r="G29" s="9">
        <v>217.68</v>
      </c>
      <c r="H29" s="9">
        <v>214.91</v>
      </c>
      <c r="I29" s="9">
        <v>215.77</v>
      </c>
      <c r="J29" s="9">
        <v>220.93</v>
      </c>
      <c r="K29" s="9">
        <v>222.26</v>
      </c>
      <c r="L29" s="9">
        <v>220.81</v>
      </c>
      <c r="M29" s="9">
        <v>221.66</v>
      </c>
    </row>
    <row r="30" spans="1:13" s="7" customFormat="1" ht="13" x14ac:dyDescent="0.15">
      <c r="A30" s="8" t="s">
        <v>38</v>
      </c>
      <c r="B30" s="8" t="s">
        <v>39</v>
      </c>
      <c r="C30" s="9">
        <v>3.24</v>
      </c>
      <c r="D30" s="9">
        <v>3.3</v>
      </c>
      <c r="E30" s="9">
        <v>3.33</v>
      </c>
      <c r="F30" s="9">
        <v>3.44</v>
      </c>
      <c r="G30" s="9">
        <v>3.5</v>
      </c>
      <c r="H30" s="9">
        <v>3.4</v>
      </c>
      <c r="I30" s="9">
        <v>3.52</v>
      </c>
      <c r="J30" s="9">
        <v>3.51</v>
      </c>
      <c r="K30" s="9">
        <v>3.5</v>
      </c>
      <c r="L30" s="9">
        <v>3.63</v>
      </c>
      <c r="M30" s="9">
        <v>3.53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226A-24AB-1943-8CDC-194D801B78AA}">
  <dimension ref="A1:L7"/>
  <sheetViews>
    <sheetView tabSelected="1" workbookViewId="0">
      <selection activeCell="K11" sqref="K11"/>
    </sheetView>
  </sheetViews>
  <sheetFormatPr baseColWidth="10" defaultRowHeight="15" x14ac:dyDescent="0.2"/>
  <cols>
    <col min="1" max="1" width="19.6640625" bestFit="1" customWidth="1"/>
    <col min="2" max="2" width="19.83203125" bestFit="1" customWidth="1"/>
  </cols>
  <sheetData>
    <row r="1" spans="1:12" x14ac:dyDescent="0.2">
      <c r="B1" s="18"/>
      <c r="C1" s="18"/>
      <c r="F1" t="s">
        <v>54</v>
      </c>
    </row>
    <row r="2" spans="1:12" x14ac:dyDescent="0.2">
      <c r="E2" t="s">
        <v>52</v>
      </c>
      <c r="F2">
        <v>3.34</v>
      </c>
    </row>
    <row r="3" spans="1:12" x14ac:dyDescent="0.2">
      <c r="E3" t="s">
        <v>53</v>
      </c>
      <c r="F3">
        <v>3.6</v>
      </c>
    </row>
    <row r="5" spans="1:12" x14ac:dyDescent="0.2">
      <c r="A5" t="s">
        <v>51</v>
      </c>
      <c r="B5" s="17" t="str">
        <f>Rice!C8</f>
        <v>2013/14</v>
      </c>
      <c r="C5" s="17" t="str">
        <f>Rice!D8</f>
        <v>2014/15</v>
      </c>
      <c r="D5" s="17" t="str">
        <f>Rice!E8</f>
        <v>2015/16</v>
      </c>
      <c r="E5" s="17" t="str">
        <f>Rice!F8</f>
        <v>2016/17</v>
      </c>
      <c r="F5" s="17" t="str">
        <f>Rice!G8</f>
        <v>2017/18</v>
      </c>
      <c r="G5" s="17" t="str">
        <f>Rice!H8</f>
        <v>2018/19</v>
      </c>
      <c r="H5" s="17" t="str">
        <f>Rice!I8</f>
        <v>2019/20</v>
      </c>
      <c r="I5" s="17" t="str">
        <f>Rice!J8</f>
        <v>2020/21</v>
      </c>
      <c r="J5" s="17" t="str">
        <f>Rice!K8</f>
        <v>2021/22</v>
      </c>
      <c r="K5" s="17" t="str">
        <f>Rice!L8</f>
        <v>2022/23</v>
      </c>
      <c r="L5" s="17" t="str">
        <f>Rice!M8</f>
        <v>2023/24</v>
      </c>
    </row>
    <row r="6" spans="1:12" x14ac:dyDescent="0.2">
      <c r="A6" t="s">
        <v>55</v>
      </c>
      <c r="B6" s="19">
        <f>Wheat!C11*1000000000000*$F$2</f>
        <v>2389202200000000</v>
      </c>
      <c r="C6" s="19">
        <f>Wheat!D11*1000000000000*$F$2</f>
        <v>2457037600000000</v>
      </c>
      <c r="D6" s="19">
        <f>Wheat!E11*1000000000000*$F$2</f>
        <v>2462548600000000</v>
      </c>
      <c r="E6" s="19">
        <f>Wheat!F11*1000000000000*$F$2</f>
        <v>2549923000000000</v>
      </c>
      <c r="F6" s="19">
        <f>Wheat!G11*1000000000000*$F$2</f>
        <v>2543510200000000</v>
      </c>
      <c r="G6" s="19">
        <f>Wheat!H11*1000000000000*$F$2</f>
        <v>2443009600000000</v>
      </c>
      <c r="H6" s="19">
        <f>Wheat!I11*1000000000000*$F$2</f>
        <v>2536028600000000</v>
      </c>
      <c r="I6" s="19">
        <f>Wheat!J11*1000000000000*$F$2</f>
        <v>2589535400000000</v>
      </c>
      <c r="J6" s="19">
        <f>Wheat!K11*1000000000000*$F$2</f>
        <v>2599455200000000</v>
      </c>
      <c r="K6" s="19">
        <f>Wheat!L11*1000000000000*$F$2</f>
        <v>2677878400000000</v>
      </c>
      <c r="L6" s="19">
        <f>Wheat!M11*1000000000000*$F$2</f>
        <v>2616288800000000</v>
      </c>
    </row>
    <row r="7" spans="1:12" x14ac:dyDescent="0.2">
      <c r="A7" t="s">
        <v>56</v>
      </c>
      <c r="B7">
        <f>Rice!C11*1000000000000*$F$3</f>
        <v>1733292000000000</v>
      </c>
      <c r="C7">
        <f>Rice!D11*1000000000000*$F$3</f>
        <v>1739304000000000</v>
      </c>
      <c r="D7">
        <f>Rice!E11*1000000000000*$F$3</f>
        <v>1716624000000000</v>
      </c>
      <c r="E7">
        <f>Rice!F11*1000000000000*$F$3</f>
        <v>1771128000000000</v>
      </c>
      <c r="F7">
        <f>Rice!G11*1000000000000*$F$3</f>
        <v>1781820000000000</v>
      </c>
      <c r="G7">
        <f>Rice!H11*1000000000000*$F$3</f>
        <v>1793700000000000</v>
      </c>
      <c r="H7">
        <f>Rice!I11*1000000000000*$F$3</f>
        <v>1793628000000000</v>
      </c>
      <c r="I7">
        <f>Rice!J11*1000000000000*$F$3</f>
        <v>1832688000000000</v>
      </c>
      <c r="J7">
        <f>Rice!K11*1000000000000*$F$3</f>
        <v>1850220000000000.2</v>
      </c>
      <c r="K7">
        <f>Rice!L11*1000000000000*$F$3</f>
        <v>1845108000000000</v>
      </c>
      <c r="L7">
        <f>Rice!M11*1000000000000*$F$3</f>
        <v>1873764000000000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Rice</vt:lpstr>
      <vt:lpstr>Wheat</vt:lpstr>
      <vt:lpstr>Prod_kcal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2023-07-20T18:29:28Z</dcterms:created>
  <dcterms:modified xsi:type="dcterms:W3CDTF">2023-07-20T18:51:31Z</dcterms:modified>
</cp:coreProperties>
</file>